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 brutos" sheetId="1" state="visible" r:id="rId1"/>
    <sheet xmlns:r="http://schemas.openxmlformats.org/officeDocument/2006/relationships" name="Cálculo OEE — exemplo" sheetId="2" state="visible" r:id="rId2"/>
    <sheet xmlns:r="http://schemas.openxmlformats.org/officeDocument/2006/relationships" name="Legen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262A35"/>
      <sz val="12"/>
    </font>
    <font>
      <name val="Arial"/>
      <i val="1"/>
      <color rgb="006E7688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color rgb="006E7688"/>
      <sz val="9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262A35"/>
        <bgColor rgb="00262A35"/>
      </patternFill>
    </fill>
    <fill>
      <patternFill patternType="solid">
        <fgColor rgb="00FFEB3B"/>
        <bgColor rgb="00FFEB3B"/>
      </patternFill>
    </fill>
  </fills>
  <borders count="2">
    <border>
      <left/>
      <right/>
      <top/>
      <bottom/>
      <diagonal/>
    </border>
    <border>
      <left style="thin">
        <color rgb="00B0B7C0"/>
      </left>
      <right style="thin">
        <color rgb="00B0B7C0"/>
      </right>
      <top style="thin">
        <color rgb="00B0B7C0"/>
      </top>
      <bottom style="thin">
        <color rgb="00B0B7C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164" fontId="4" fillId="0" borderId="0" pivotButton="0" quotePrefix="0" xfId="0"/>
    <xf numFmtId="164" fontId="7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0" customWidth="1" min="4" max="4"/>
    <col width="22" customWidth="1" min="5" max="5"/>
    <col width="24" customWidth="1" min="6" max="6"/>
    <col width="18" customWidth="1" min="7" max="7"/>
    <col width="16" customWidth="1" min="8" max="8"/>
    <col width="14" customWidth="1" min="9" max="9"/>
    <col width="16" customWidth="1" min="10" max="10"/>
    <col width="18" customWidth="1" min="11" max="11"/>
  </cols>
  <sheetData>
    <row r="1" ht="24" customHeight="1">
      <c r="A1" s="1" t="inlineStr">
        <is>
          <t>Apontamento de produção — Injetoras 01 e 02</t>
        </is>
      </c>
    </row>
    <row r="2">
      <c r="A2" s="2" t="inlineStr">
        <is>
          <t>Dados fictícios · 5 dias × 3 turnos × 2 máquinas · para exercício M5 T2 · PDL Mallory 2026</t>
        </is>
      </c>
    </row>
    <row r="4" ht="32" customHeight="1">
      <c r="A4" s="3" t="inlineStr">
        <is>
          <t>Data</t>
        </is>
      </c>
      <c r="B4" s="3" t="inlineStr">
        <is>
          <t>Turno</t>
        </is>
      </c>
      <c r="C4" s="3" t="inlineStr">
        <is>
          <t>Máquina</t>
        </is>
      </c>
      <c r="D4" s="3" t="inlineStr">
        <is>
          <t>Tempo Planejado (min)</t>
        </is>
      </c>
      <c r="E4" s="3" t="inlineStr">
        <is>
          <t>Paradas Programadas (min)</t>
        </is>
      </c>
      <c r="F4" s="3" t="inlineStr">
        <is>
          <t>Paradas Não Programadas (min)</t>
        </is>
      </c>
      <c r="G4" s="3" t="inlineStr">
        <is>
          <t>Tempo Rodando (min)</t>
        </is>
      </c>
      <c r="H4" s="3" t="inlineStr">
        <is>
          <t>Peças Produzidas</t>
        </is>
      </c>
      <c r="I4" s="3" t="inlineStr">
        <is>
          <t>Peças Refugadas</t>
        </is>
      </c>
      <c r="J4" s="3" t="inlineStr">
        <is>
          <t>Ciclo Ideal (s/peça)</t>
        </is>
      </c>
      <c r="K4" s="3" t="inlineStr">
        <is>
          <t>Meta Ciclo (peças/hora)</t>
        </is>
      </c>
    </row>
    <row r="5">
      <c r="A5" s="4" t="inlineStr">
        <is>
          <t>14/07/2026</t>
        </is>
      </c>
      <c r="B5" s="4" t="inlineStr">
        <is>
          <t>A (06-14h)</t>
        </is>
      </c>
      <c r="C5" s="4" t="inlineStr">
        <is>
          <t>Injetora 01</t>
        </is>
      </c>
      <c r="D5" s="4" t="n">
        <v>480</v>
      </c>
      <c r="E5" s="4" t="n">
        <v>30</v>
      </c>
      <c r="F5" s="4" t="n">
        <v>30</v>
      </c>
      <c r="G5" s="4" t="n">
        <v>420</v>
      </c>
      <c r="H5" s="4" t="n">
        <v>515</v>
      </c>
      <c r="I5" s="4" t="n">
        <v>13</v>
      </c>
      <c r="J5" s="4" t="n">
        <v>45</v>
      </c>
      <c r="K5" s="4" t="n">
        <v>80</v>
      </c>
    </row>
    <row r="6">
      <c r="A6" s="4" t="inlineStr">
        <is>
          <t>14/07/2026</t>
        </is>
      </c>
      <c r="B6" s="4" t="inlineStr">
        <is>
          <t>A (06-14h)</t>
        </is>
      </c>
      <c r="C6" s="4" t="inlineStr">
        <is>
          <t>Injetora 02</t>
        </is>
      </c>
      <c r="D6" s="4" t="n">
        <v>480</v>
      </c>
      <c r="E6" s="4" t="n">
        <v>30</v>
      </c>
      <c r="F6" s="4" t="n">
        <v>35</v>
      </c>
      <c r="G6" s="4" t="n">
        <v>415</v>
      </c>
      <c r="H6" s="4" t="n">
        <v>425</v>
      </c>
      <c r="I6" s="4" t="n">
        <v>8</v>
      </c>
      <c r="J6" s="4" t="n">
        <v>52</v>
      </c>
      <c r="K6" s="4" t="n">
        <v>69</v>
      </c>
    </row>
    <row r="7">
      <c r="A7" s="4" t="inlineStr">
        <is>
          <t>14/07/2026</t>
        </is>
      </c>
      <c r="B7" s="4" t="inlineStr">
        <is>
          <t>B (14-22h)</t>
        </is>
      </c>
      <c r="C7" s="4" t="inlineStr">
        <is>
          <t>Injetora 01</t>
        </is>
      </c>
      <c r="D7" s="4" t="n">
        <v>480</v>
      </c>
      <c r="E7" s="4" t="n">
        <v>30</v>
      </c>
      <c r="F7" s="4" t="n">
        <v>60</v>
      </c>
      <c r="G7" s="4" t="n">
        <v>390</v>
      </c>
      <c r="H7" s="4" t="n">
        <v>494</v>
      </c>
      <c r="I7" s="4" t="n">
        <v>22</v>
      </c>
      <c r="J7" s="4" t="n">
        <v>45</v>
      </c>
      <c r="K7" s="4" t="n">
        <v>80</v>
      </c>
    </row>
    <row r="8">
      <c r="A8" s="4" t="inlineStr">
        <is>
          <t>14/07/2026</t>
        </is>
      </c>
      <c r="B8" s="4" t="inlineStr">
        <is>
          <t>B (14-22h)</t>
        </is>
      </c>
      <c r="C8" s="4" t="inlineStr">
        <is>
          <t>Injetora 02</t>
        </is>
      </c>
      <c r="D8" s="4" t="n">
        <v>480</v>
      </c>
      <c r="E8" s="4" t="n">
        <v>30</v>
      </c>
      <c r="F8" s="4" t="n">
        <v>45</v>
      </c>
      <c r="G8" s="4" t="n">
        <v>405</v>
      </c>
      <c r="H8" s="4" t="n">
        <v>429</v>
      </c>
      <c r="I8" s="4" t="n">
        <v>15</v>
      </c>
      <c r="J8" s="4" t="n">
        <v>52</v>
      </c>
      <c r="K8" s="4" t="n">
        <v>69</v>
      </c>
    </row>
    <row r="9">
      <c r="A9" s="4" t="inlineStr">
        <is>
          <t>14/07/2026</t>
        </is>
      </c>
      <c r="B9" s="4" t="inlineStr">
        <is>
          <t>C (22-06h)</t>
        </is>
      </c>
      <c r="C9" s="4" t="inlineStr">
        <is>
          <t>Injetora 01</t>
        </is>
      </c>
      <c r="D9" s="4" t="n">
        <v>480</v>
      </c>
      <c r="E9" s="4" t="n">
        <v>40</v>
      </c>
      <c r="F9" s="4" t="n">
        <v>65</v>
      </c>
      <c r="G9" s="4" t="n">
        <v>375</v>
      </c>
      <c r="H9" s="4" t="n">
        <v>445</v>
      </c>
      <c r="I9" s="4" t="n">
        <v>23</v>
      </c>
      <c r="J9" s="4" t="n">
        <v>45</v>
      </c>
      <c r="K9" s="4" t="n">
        <v>80</v>
      </c>
    </row>
    <row r="10">
      <c r="A10" s="4" t="inlineStr">
        <is>
          <t>14/07/2026</t>
        </is>
      </c>
      <c r="B10" s="4" t="inlineStr">
        <is>
          <t>C (22-06h)</t>
        </is>
      </c>
      <c r="C10" s="4" t="inlineStr">
        <is>
          <t>Injetora 02</t>
        </is>
      </c>
      <c r="D10" s="4" t="n">
        <v>480</v>
      </c>
      <c r="E10" s="4" t="n">
        <v>40</v>
      </c>
      <c r="F10" s="4" t="n">
        <v>70</v>
      </c>
      <c r="G10" s="4" t="n">
        <v>370</v>
      </c>
      <c r="H10" s="4" t="n">
        <v>404</v>
      </c>
      <c r="I10" s="4" t="n">
        <v>16</v>
      </c>
      <c r="J10" s="4" t="n">
        <v>52</v>
      </c>
      <c r="K10" s="4" t="n">
        <v>69</v>
      </c>
    </row>
    <row r="11">
      <c r="A11" s="4" t="inlineStr">
        <is>
          <t>15/07/2026</t>
        </is>
      </c>
      <c r="B11" s="4" t="inlineStr">
        <is>
          <t>A (06-14h)</t>
        </is>
      </c>
      <c r="C11" s="4" t="inlineStr">
        <is>
          <t>Injetora 01</t>
        </is>
      </c>
      <c r="D11" s="4" t="n">
        <v>480</v>
      </c>
      <c r="E11" s="4" t="n">
        <v>30</v>
      </c>
      <c r="F11" s="4" t="n">
        <v>40</v>
      </c>
      <c r="G11" s="4" t="n">
        <v>410</v>
      </c>
      <c r="H11" s="4" t="n">
        <v>502</v>
      </c>
      <c r="I11" s="4" t="n">
        <v>13</v>
      </c>
      <c r="J11" s="4" t="n">
        <v>45</v>
      </c>
      <c r="K11" s="4" t="n">
        <v>80</v>
      </c>
    </row>
    <row r="12">
      <c r="A12" s="4" t="inlineStr">
        <is>
          <t>15/07/2026</t>
        </is>
      </c>
      <c r="B12" s="4" t="inlineStr">
        <is>
          <t>A (06-14h)</t>
        </is>
      </c>
      <c r="C12" s="4" t="inlineStr">
        <is>
          <t>Injetora 02</t>
        </is>
      </c>
      <c r="D12" s="4" t="n">
        <v>480</v>
      </c>
      <c r="E12" s="4" t="n">
        <v>30</v>
      </c>
      <c r="F12" s="4" t="n">
        <v>25</v>
      </c>
      <c r="G12" s="4" t="n">
        <v>425</v>
      </c>
      <c r="H12" s="4" t="n">
        <v>436</v>
      </c>
      <c r="I12" s="4" t="n">
        <v>8</v>
      </c>
      <c r="J12" s="4" t="n">
        <v>52</v>
      </c>
      <c r="K12" s="4" t="n">
        <v>69</v>
      </c>
    </row>
    <row r="13">
      <c r="A13" s="4" t="inlineStr">
        <is>
          <t>15/07/2026</t>
        </is>
      </c>
      <c r="B13" s="4" t="inlineStr">
        <is>
          <t>B (14-22h)</t>
        </is>
      </c>
      <c r="C13" s="4" t="inlineStr">
        <is>
          <t>Injetora 01</t>
        </is>
      </c>
      <c r="D13" s="4" t="n">
        <v>480</v>
      </c>
      <c r="E13" s="4" t="n">
        <v>30</v>
      </c>
      <c r="F13" s="4" t="n">
        <v>50</v>
      </c>
      <c r="G13" s="4" t="n">
        <v>400</v>
      </c>
      <c r="H13" s="4" t="n">
        <v>506</v>
      </c>
      <c r="I13" s="4" t="n">
        <v>23</v>
      </c>
      <c r="J13" s="4" t="n">
        <v>45</v>
      </c>
      <c r="K13" s="4" t="n">
        <v>80</v>
      </c>
    </row>
    <row r="14">
      <c r="A14" s="4" t="inlineStr">
        <is>
          <t>15/07/2026</t>
        </is>
      </c>
      <c r="B14" s="4" t="inlineStr">
        <is>
          <t>B (14-22h)</t>
        </is>
      </c>
      <c r="C14" s="4" t="inlineStr">
        <is>
          <t>Injetora 02</t>
        </is>
      </c>
      <c r="D14" s="4" t="n">
        <v>480</v>
      </c>
      <c r="E14" s="4" t="n">
        <v>30</v>
      </c>
      <c r="F14" s="4" t="n">
        <v>55</v>
      </c>
      <c r="G14" s="4" t="n">
        <v>395</v>
      </c>
      <c r="H14" s="4" t="n">
        <v>418</v>
      </c>
      <c r="I14" s="4" t="n">
        <v>14</v>
      </c>
      <c r="J14" s="4" t="n">
        <v>52</v>
      </c>
      <c r="K14" s="4" t="n">
        <v>69</v>
      </c>
    </row>
    <row r="15">
      <c r="A15" s="4" t="inlineStr">
        <is>
          <t>15/07/2026</t>
        </is>
      </c>
      <c r="B15" s="4" t="inlineStr">
        <is>
          <t>C (22-06h)</t>
        </is>
      </c>
      <c r="C15" s="4" t="inlineStr">
        <is>
          <t>Injetora 01</t>
        </is>
      </c>
      <c r="D15" s="4" t="n">
        <v>480</v>
      </c>
      <c r="E15" s="4" t="n">
        <v>40</v>
      </c>
      <c r="F15" s="4" t="n">
        <v>75</v>
      </c>
      <c r="G15" s="4" t="n">
        <v>365</v>
      </c>
      <c r="H15" s="4" t="n">
        <v>432</v>
      </c>
      <c r="I15" s="4" t="n">
        <v>22</v>
      </c>
      <c r="J15" s="4" t="n">
        <v>45</v>
      </c>
      <c r="K15" s="4" t="n">
        <v>80</v>
      </c>
    </row>
    <row r="16">
      <c r="A16" s="4" t="inlineStr">
        <is>
          <t>15/07/2026</t>
        </is>
      </c>
      <c r="B16" s="4" t="inlineStr">
        <is>
          <t>C (22-06h)</t>
        </is>
      </c>
      <c r="C16" s="4" t="inlineStr">
        <is>
          <t>Injetora 02</t>
        </is>
      </c>
      <c r="D16" s="4" t="n">
        <v>480</v>
      </c>
      <c r="E16" s="4" t="n">
        <v>40</v>
      </c>
      <c r="F16" s="4" t="n">
        <v>60</v>
      </c>
      <c r="G16" s="4" t="n">
        <v>380</v>
      </c>
      <c r="H16" s="4" t="n">
        <v>416</v>
      </c>
      <c r="I16" s="4" t="n">
        <v>16</v>
      </c>
      <c r="J16" s="4" t="n">
        <v>52</v>
      </c>
      <c r="K16" s="4" t="n">
        <v>69</v>
      </c>
    </row>
    <row r="17">
      <c r="A17" s="4" t="inlineStr">
        <is>
          <t>16/07/2026</t>
        </is>
      </c>
      <c r="B17" s="4" t="inlineStr">
        <is>
          <t>A (06-14h)</t>
        </is>
      </c>
      <c r="C17" s="4" t="inlineStr">
        <is>
          <t>Injetora 01</t>
        </is>
      </c>
      <c r="D17" s="4" t="n">
        <v>480</v>
      </c>
      <c r="E17" s="4" t="n">
        <v>30</v>
      </c>
      <c r="F17" s="4" t="n">
        <v>30</v>
      </c>
      <c r="G17" s="4" t="n">
        <v>420</v>
      </c>
      <c r="H17" s="4" t="n">
        <v>515</v>
      </c>
      <c r="I17" s="4" t="n">
        <v>13</v>
      </c>
      <c r="J17" s="4" t="n">
        <v>45</v>
      </c>
      <c r="K17" s="4" t="n">
        <v>80</v>
      </c>
    </row>
    <row r="18">
      <c r="A18" s="4" t="inlineStr">
        <is>
          <t>16/07/2026</t>
        </is>
      </c>
      <c r="B18" s="4" t="inlineStr">
        <is>
          <t>A (06-14h)</t>
        </is>
      </c>
      <c r="C18" s="4" t="inlineStr">
        <is>
          <t>Injetora 02</t>
        </is>
      </c>
      <c r="D18" s="4" t="n">
        <v>480</v>
      </c>
      <c r="E18" s="4" t="n">
        <v>30</v>
      </c>
      <c r="F18" s="4" t="n">
        <v>35</v>
      </c>
      <c r="G18" s="4" t="n">
        <v>415</v>
      </c>
      <c r="H18" s="4" t="n">
        <v>425</v>
      </c>
      <c r="I18" s="4" t="n">
        <v>8</v>
      </c>
      <c r="J18" s="4" t="n">
        <v>52</v>
      </c>
      <c r="K18" s="4" t="n">
        <v>69</v>
      </c>
    </row>
    <row r="19">
      <c r="A19" s="4" t="inlineStr">
        <is>
          <t>16/07/2026</t>
        </is>
      </c>
      <c r="B19" s="4" t="inlineStr">
        <is>
          <t>B (14-22h)</t>
        </is>
      </c>
      <c r="C19" s="4" t="inlineStr">
        <is>
          <t>Injetora 01</t>
        </is>
      </c>
      <c r="D19" s="4" t="n">
        <v>480</v>
      </c>
      <c r="E19" s="4" t="n">
        <v>30</v>
      </c>
      <c r="F19" s="4" t="n">
        <v>60</v>
      </c>
      <c r="G19" s="4" t="n">
        <v>390</v>
      </c>
      <c r="H19" s="4" t="n">
        <v>494</v>
      </c>
      <c r="I19" s="4" t="n">
        <v>22</v>
      </c>
      <c r="J19" s="4" t="n">
        <v>45</v>
      </c>
      <c r="K19" s="4" t="n">
        <v>80</v>
      </c>
    </row>
    <row r="20">
      <c r="A20" s="4" t="inlineStr">
        <is>
          <t>16/07/2026</t>
        </is>
      </c>
      <c r="B20" s="4" t="inlineStr">
        <is>
          <t>B (14-22h)</t>
        </is>
      </c>
      <c r="C20" s="4" t="inlineStr">
        <is>
          <t>Injetora 02</t>
        </is>
      </c>
      <c r="D20" s="4" t="n">
        <v>480</v>
      </c>
      <c r="E20" s="4" t="n">
        <v>30</v>
      </c>
      <c r="F20" s="4" t="n">
        <v>45</v>
      </c>
      <c r="G20" s="4" t="n">
        <v>405</v>
      </c>
      <c r="H20" s="4" t="n">
        <v>429</v>
      </c>
      <c r="I20" s="4" t="n">
        <v>15</v>
      </c>
      <c r="J20" s="4" t="n">
        <v>52</v>
      </c>
      <c r="K20" s="4" t="n">
        <v>69</v>
      </c>
    </row>
    <row r="21">
      <c r="A21" s="4" t="inlineStr">
        <is>
          <t>16/07/2026</t>
        </is>
      </c>
      <c r="B21" s="4" t="inlineStr">
        <is>
          <t>C (22-06h)</t>
        </is>
      </c>
      <c r="C21" s="4" t="inlineStr">
        <is>
          <t>Injetora 01</t>
        </is>
      </c>
      <c r="D21" s="4" t="n">
        <v>480</v>
      </c>
      <c r="E21" s="4" t="n">
        <v>40</v>
      </c>
      <c r="F21" s="4" t="n">
        <v>65</v>
      </c>
      <c r="G21" s="4" t="n">
        <v>375</v>
      </c>
      <c r="H21" s="4" t="n">
        <v>445</v>
      </c>
      <c r="I21" s="4" t="n">
        <v>23</v>
      </c>
      <c r="J21" s="4" t="n">
        <v>45</v>
      </c>
      <c r="K21" s="4" t="n">
        <v>80</v>
      </c>
    </row>
    <row r="22">
      <c r="A22" s="4" t="inlineStr">
        <is>
          <t>16/07/2026</t>
        </is>
      </c>
      <c r="B22" s="4" t="inlineStr">
        <is>
          <t>C (22-06h)</t>
        </is>
      </c>
      <c r="C22" s="4" t="inlineStr">
        <is>
          <t>Injetora 02</t>
        </is>
      </c>
      <c r="D22" s="4" t="n">
        <v>480</v>
      </c>
      <c r="E22" s="4" t="n">
        <v>40</v>
      </c>
      <c r="F22" s="4" t="n">
        <v>70</v>
      </c>
      <c r="G22" s="4" t="n">
        <v>370</v>
      </c>
      <c r="H22" s="4" t="n">
        <v>404</v>
      </c>
      <c r="I22" s="4" t="n">
        <v>16</v>
      </c>
      <c r="J22" s="4" t="n">
        <v>52</v>
      </c>
      <c r="K22" s="4" t="n">
        <v>69</v>
      </c>
    </row>
    <row r="23">
      <c r="A23" s="4" t="inlineStr">
        <is>
          <t>17/07/2026</t>
        </is>
      </c>
      <c r="B23" s="4" t="inlineStr">
        <is>
          <t>A (06-14h)</t>
        </is>
      </c>
      <c r="C23" s="4" t="inlineStr">
        <is>
          <t>Injetora 01</t>
        </is>
      </c>
      <c r="D23" s="4" t="n">
        <v>480</v>
      </c>
      <c r="E23" s="4" t="n">
        <v>30</v>
      </c>
      <c r="F23" s="4" t="n">
        <v>40</v>
      </c>
      <c r="G23" s="4" t="n">
        <v>410</v>
      </c>
      <c r="H23" s="4" t="n">
        <v>502</v>
      </c>
      <c r="I23" s="4" t="n">
        <v>13</v>
      </c>
      <c r="J23" s="4" t="n">
        <v>45</v>
      </c>
      <c r="K23" s="4" t="n">
        <v>80</v>
      </c>
    </row>
    <row r="24">
      <c r="A24" s="4" t="inlineStr">
        <is>
          <t>17/07/2026</t>
        </is>
      </c>
      <c r="B24" s="4" t="inlineStr">
        <is>
          <t>A (06-14h)</t>
        </is>
      </c>
      <c r="C24" s="4" t="inlineStr">
        <is>
          <t>Injetora 02</t>
        </is>
      </c>
      <c r="D24" s="4" t="n">
        <v>480</v>
      </c>
      <c r="E24" s="4" t="n">
        <v>30</v>
      </c>
      <c r="F24" s="4" t="n">
        <v>25</v>
      </c>
      <c r="G24" s="4" t="n">
        <v>425</v>
      </c>
      <c r="H24" s="4" t="n">
        <v>436</v>
      </c>
      <c r="I24" s="4" t="n">
        <v>8</v>
      </c>
      <c r="J24" s="4" t="n">
        <v>52</v>
      </c>
      <c r="K24" s="4" t="n">
        <v>69</v>
      </c>
    </row>
    <row r="25">
      <c r="A25" s="4" t="inlineStr">
        <is>
          <t>17/07/2026</t>
        </is>
      </c>
      <c r="B25" s="4" t="inlineStr">
        <is>
          <t>B (14-22h)</t>
        </is>
      </c>
      <c r="C25" s="4" t="inlineStr">
        <is>
          <t>Injetora 01</t>
        </is>
      </c>
      <c r="D25" s="4" t="n">
        <v>480</v>
      </c>
      <c r="E25" s="4" t="n">
        <v>30</v>
      </c>
      <c r="F25" s="4" t="n">
        <v>50</v>
      </c>
      <c r="G25" s="4" t="n">
        <v>400</v>
      </c>
      <c r="H25" s="4" t="n">
        <v>506</v>
      </c>
      <c r="I25" s="4" t="n">
        <v>23</v>
      </c>
      <c r="J25" s="4" t="n">
        <v>45</v>
      </c>
      <c r="K25" s="4" t="n">
        <v>80</v>
      </c>
    </row>
    <row r="26">
      <c r="A26" s="4" t="inlineStr">
        <is>
          <t>17/07/2026</t>
        </is>
      </c>
      <c r="B26" s="4" t="inlineStr">
        <is>
          <t>B (14-22h)</t>
        </is>
      </c>
      <c r="C26" s="4" t="inlineStr">
        <is>
          <t>Injetora 02</t>
        </is>
      </c>
      <c r="D26" s="4" t="n">
        <v>480</v>
      </c>
      <c r="E26" s="4" t="n">
        <v>30</v>
      </c>
      <c r="F26" s="4" t="n">
        <v>55</v>
      </c>
      <c r="G26" s="4" t="n">
        <v>395</v>
      </c>
      <c r="H26" s="4" t="n">
        <v>418</v>
      </c>
      <c r="I26" s="4" t="n">
        <v>14</v>
      </c>
      <c r="J26" s="4" t="n">
        <v>52</v>
      </c>
      <c r="K26" s="4" t="n">
        <v>69</v>
      </c>
    </row>
    <row r="27">
      <c r="A27" s="4" t="inlineStr">
        <is>
          <t>17/07/2026</t>
        </is>
      </c>
      <c r="B27" s="4" t="inlineStr">
        <is>
          <t>C (22-06h)</t>
        </is>
      </c>
      <c r="C27" s="4" t="inlineStr">
        <is>
          <t>Injetora 01</t>
        </is>
      </c>
      <c r="D27" s="4" t="n">
        <v>480</v>
      </c>
      <c r="E27" s="4" t="n">
        <v>40</v>
      </c>
      <c r="F27" s="4" t="n">
        <v>75</v>
      </c>
      <c r="G27" s="4" t="n">
        <v>365</v>
      </c>
      <c r="H27" s="4" t="n">
        <v>432</v>
      </c>
      <c r="I27" s="4" t="n">
        <v>22</v>
      </c>
      <c r="J27" s="4" t="n">
        <v>45</v>
      </c>
      <c r="K27" s="4" t="n">
        <v>80</v>
      </c>
    </row>
    <row r="28">
      <c r="A28" s="4" t="inlineStr">
        <is>
          <t>17/07/2026</t>
        </is>
      </c>
      <c r="B28" s="4" t="inlineStr">
        <is>
          <t>C (22-06h)</t>
        </is>
      </c>
      <c r="C28" s="4" t="inlineStr">
        <is>
          <t>Injetora 02</t>
        </is>
      </c>
      <c r="D28" s="4" t="n">
        <v>480</v>
      </c>
      <c r="E28" s="4" t="n">
        <v>40</v>
      </c>
      <c r="F28" s="4" t="n">
        <v>60</v>
      </c>
      <c r="G28" s="4" t="n">
        <v>380</v>
      </c>
      <c r="H28" s="4" t="n">
        <v>416</v>
      </c>
      <c r="I28" s="4" t="n">
        <v>16</v>
      </c>
      <c r="J28" s="4" t="n">
        <v>52</v>
      </c>
      <c r="K28" s="4" t="n">
        <v>69</v>
      </c>
    </row>
    <row r="29">
      <c r="A29" s="4" t="inlineStr">
        <is>
          <t>18/07/2026</t>
        </is>
      </c>
      <c r="B29" s="4" t="inlineStr">
        <is>
          <t>A (06-14h)</t>
        </is>
      </c>
      <c r="C29" s="4" t="inlineStr">
        <is>
          <t>Injetora 01</t>
        </is>
      </c>
      <c r="D29" s="4" t="n">
        <v>480</v>
      </c>
      <c r="E29" s="4" t="n">
        <v>30</v>
      </c>
      <c r="F29" s="4" t="n">
        <v>30</v>
      </c>
      <c r="G29" s="4" t="n">
        <v>420</v>
      </c>
      <c r="H29" s="4" t="n">
        <v>515</v>
      </c>
      <c r="I29" s="4" t="n">
        <v>13</v>
      </c>
      <c r="J29" s="4" t="n">
        <v>45</v>
      </c>
      <c r="K29" s="4" t="n">
        <v>80</v>
      </c>
    </row>
    <row r="30">
      <c r="A30" s="4" t="inlineStr">
        <is>
          <t>18/07/2026</t>
        </is>
      </c>
      <c r="B30" s="4" t="inlineStr">
        <is>
          <t>A (06-14h)</t>
        </is>
      </c>
      <c r="C30" s="4" t="inlineStr">
        <is>
          <t>Injetora 02</t>
        </is>
      </c>
      <c r="D30" s="4" t="n">
        <v>480</v>
      </c>
      <c r="E30" s="4" t="n">
        <v>30</v>
      </c>
      <c r="F30" s="4" t="n">
        <v>35</v>
      </c>
      <c r="G30" s="4" t="n">
        <v>415</v>
      </c>
      <c r="H30" s="4" t="n">
        <v>425</v>
      </c>
      <c r="I30" s="4" t="n">
        <v>8</v>
      </c>
      <c r="J30" s="4" t="n">
        <v>52</v>
      </c>
      <c r="K30" s="4" t="n">
        <v>69</v>
      </c>
    </row>
    <row r="31">
      <c r="A31" s="4" t="inlineStr">
        <is>
          <t>18/07/2026</t>
        </is>
      </c>
      <c r="B31" s="4" t="inlineStr">
        <is>
          <t>B (14-22h)</t>
        </is>
      </c>
      <c r="C31" s="4" t="inlineStr">
        <is>
          <t>Injetora 01</t>
        </is>
      </c>
      <c r="D31" s="4" t="n">
        <v>480</v>
      </c>
      <c r="E31" s="4" t="n">
        <v>30</v>
      </c>
      <c r="F31" s="4" t="n">
        <v>60</v>
      </c>
      <c r="G31" s="4" t="n">
        <v>390</v>
      </c>
      <c r="H31" s="4" t="n">
        <v>494</v>
      </c>
      <c r="I31" s="4" t="n">
        <v>22</v>
      </c>
      <c r="J31" s="4" t="n">
        <v>45</v>
      </c>
      <c r="K31" s="4" t="n">
        <v>80</v>
      </c>
    </row>
    <row r="32">
      <c r="A32" s="4" t="inlineStr">
        <is>
          <t>18/07/2026</t>
        </is>
      </c>
      <c r="B32" s="4" t="inlineStr">
        <is>
          <t>B (14-22h)</t>
        </is>
      </c>
      <c r="C32" s="4" t="inlineStr">
        <is>
          <t>Injetora 02</t>
        </is>
      </c>
      <c r="D32" s="4" t="n">
        <v>480</v>
      </c>
      <c r="E32" s="4" t="n">
        <v>30</v>
      </c>
      <c r="F32" s="4" t="n">
        <v>45</v>
      </c>
      <c r="G32" s="4" t="n">
        <v>405</v>
      </c>
      <c r="H32" s="4" t="n">
        <v>429</v>
      </c>
      <c r="I32" s="4" t="n">
        <v>15</v>
      </c>
      <c r="J32" s="4" t="n">
        <v>52</v>
      </c>
      <c r="K32" s="4" t="n">
        <v>69</v>
      </c>
    </row>
    <row r="33">
      <c r="A33" s="4" t="inlineStr">
        <is>
          <t>18/07/2026</t>
        </is>
      </c>
      <c r="B33" s="4" t="inlineStr">
        <is>
          <t>C (22-06h)</t>
        </is>
      </c>
      <c r="C33" s="4" t="inlineStr">
        <is>
          <t>Injetora 01</t>
        </is>
      </c>
      <c r="D33" s="4" t="n">
        <v>480</v>
      </c>
      <c r="E33" s="4" t="n">
        <v>40</v>
      </c>
      <c r="F33" s="4" t="n">
        <v>65</v>
      </c>
      <c r="G33" s="4" t="n">
        <v>375</v>
      </c>
      <c r="H33" s="4" t="n">
        <v>445</v>
      </c>
      <c r="I33" s="4" t="n">
        <v>23</v>
      </c>
      <c r="J33" s="4" t="n">
        <v>45</v>
      </c>
      <c r="K33" s="4" t="n">
        <v>80</v>
      </c>
    </row>
    <row r="34">
      <c r="A34" s="4" t="inlineStr">
        <is>
          <t>18/07/2026</t>
        </is>
      </c>
      <c r="B34" s="4" t="inlineStr">
        <is>
          <t>C (22-06h)</t>
        </is>
      </c>
      <c r="C34" s="4" t="inlineStr">
        <is>
          <t>Injetora 02</t>
        </is>
      </c>
      <c r="D34" s="4" t="n">
        <v>480</v>
      </c>
      <c r="E34" s="4" t="n">
        <v>40</v>
      </c>
      <c r="F34" s="4" t="n">
        <v>70</v>
      </c>
      <c r="G34" s="4" t="n">
        <v>370</v>
      </c>
      <c r="H34" s="4" t="n">
        <v>404</v>
      </c>
      <c r="I34" s="4" t="n">
        <v>16</v>
      </c>
      <c r="J34" s="4" t="n">
        <v>52</v>
      </c>
      <c r="K34" s="4" t="n">
        <v>69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30" customWidth="1" min="3" max="3"/>
    <col width="40" customWidth="1" min="4" max="4"/>
  </cols>
  <sheetData>
    <row r="1">
      <c r="A1" s="1" t="inlineStr">
        <is>
          <t>Cálculo OEE — Injetora 01, turno A, 14/07/2026</t>
        </is>
      </c>
    </row>
    <row r="2">
      <c r="A2" s="2" t="inlineStr">
        <is>
          <t>Fórmulas ancoradas na primeira linha da aba 'Dados brutos' — mude os valores lá e este cálculo se atualiza.</t>
        </is>
      </c>
    </row>
    <row r="4">
      <c r="A4" s="5" t="inlineStr">
        <is>
          <t>Insumo</t>
        </is>
      </c>
      <c r="B4" s="6" t="inlineStr">
        <is>
          <t>Valor</t>
        </is>
      </c>
      <c r="C4" s="2" t="inlineStr">
        <is>
          <t>Fórmula</t>
        </is>
      </c>
      <c r="D4" s="7" t="inlineStr">
        <is>
          <t>Comentário</t>
        </is>
      </c>
    </row>
    <row r="5">
      <c r="A5" s="6" t="inlineStr">
        <is>
          <t>Tempo planejado (min)</t>
        </is>
      </c>
      <c r="B5" s="6">
        <f>'Dados brutos'!D5</f>
        <v/>
      </c>
      <c r="C5" s="2" t="inlineStr"/>
      <c r="D5" s="7" t="inlineStr">
        <is>
          <t>Total do turno programado</t>
        </is>
      </c>
    </row>
    <row r="6">
      <c r="A6" s="6" t="inlineStr">
        <is>
          <t>Paradas programadas (min)</t>
        </is>
      </c>
      <c r="B6" s="6">
        <f>'Dados brutos'!E5</f>
        <v/>
      </c>
      <c r="C6" s="2" t="inlineStr"/>
      <c r="D6" s="7" t="inlineStr">
        <is>
          <t>Setup, refeição, limpeza planejada</t>
        </is>
      </c>
    </row>
    <row r="7">
      <c r="A7" s="6" t="inlineStr">
        <is>
          <t>Paradas não programadas (min)</t>
        </is>
      </c>
      <c r="B7" s="6">
        <f>'Dados brutos'!F5</f>
        <v/>
      </c>
      <c r="C7" s="2" t="inlineStr"/>
      <c r="D7" s="7" t="inlineStr">
        <is>
          <t>Quebra, falta de material, ajuste</t>
        </is>
      </c>
    </row>
    <row r="8">
      <c r="A8" s="6" t="inlineStr">
        <is>
          <t>Tempo disponível (min)</t>
        </is>
      </c>
      <c r="B8" s="6">
        <f>B5-C5</f>
        <v/>
      </c>
      <c r="C8" s="2" t="inlineStr">
        <is>
          <t>Planejado - Prog</t>
        </is>
      </c>
      <c r="D8" s="7" t="inlineStr">
        <is>
          <t>Base do cálculo de Disponibilidade</t>
        </is>
      </c>
    </row>
    <row r="9">
      <c r="A9" s="6" t="inlineStr">
        <is>
          <t>Tempo rodando (min)</t>
        </is>
      </c>
      <c r="B9" s="6">
        <f>'Dados brutos'!G5</f>
        <v/>
      </c>
      <c r="C9" s="2" t="inlineStr"/>
      <c r="D9" s="7" t="inlineStr"/>
    </row>
    <row r="10">
      <c r="A10" s="6" t="inlineStr">
        <is>
          <t>Peças produzidas</t>
        </is>
      </c>
      <c r="B10" s="6">
        <f>'Dados brutos'!H5</f>
        <v/>
      </c>
      <c r="C10" s="2" t="inlineStr"/>
      <c r="D10" s="7" t="inlineStr"/>
    </row>
    <row r="11">
      <c r="A11" s="6" t="inlineStr">
        <is>
          <t>Peças refugadas</t>
        </is>
      </c>
      <c r="B11" s="6">
        <f>'Dados brutos'!I5</f>
        <v/>
      </c>
      <c r="C11" s="2" t="inlineStr"/>
      <c r="D11" s="7" t="inlineStr"/>
    </row>
    <row r="12">
      <c r="A12" s="6" t="inlineStr">
        <is>
          <t>Ciclo ideal (s/peça)</t>
        </is>
      </c>
      <c r="B12" s="6">
        <f>'Dados brutos'!J5</f>
        <v/>
      </c>
      <c r="C12" s="2" t="inlineStr"/>
      <c r="D12" s="7" t="inlineStr">
        <is>
          <t>Vem da spec da máquina</t>
        </is>
      </c>
    </row>
    <row r="13">
      <c r="A13" s="6" t="inlineStr"/>
      <c r="B13" s="6" t="inlineStr"/>
      <c r="C13" s="2" t="inlineStr"/>
      <c r="D13" s="7" t="inlineStr"/>
    </row>
    <row r="14">
      <c r="A14" s="5" t="inlineStr">
        <is>
          <t>Disponibilidade</t>
        </is>
      </c>
      <c r="B14" s="8">
        <f>B9/B7</f>
        <v/>
      </c>
      <c r="C14" s="2" t="inlineStr">
        <is>
          <t>Rodando / Disponível</t>
        </is>
      </c>
      <c r="D14" s="7" t="inlineStr">
        <is>
          <t>Deveria ser 100%; perde por não programada</t>
        </is>
      </c>
    </row>
    <row r="15">
      <c r="A15" s="5" t="inlineStr">
        <is>
          <t>Performance</t>
        </is>
      </c>
      <c r="B15" s="8">
        <f>(B10*(B12/60))/B9</f>
        <v/>
      </c>
      <c r="C15" s="2" t="inlineStr">
        <is>
          <t>(Produzidas × Ciclo min) / Rodando</t>
        </is>
      </c>
      <c r="D15" s="7" t="inlineStr">
        <is>
          <t>Perde por micro-parada e ritmo abaixo</t>
        </is>
      </c>
    </row>
    <row r="16">
      <c r="A16" s="5" t="inlineStr">
        <is>
          <t>Qualidade</t>
        </is>
      </c>
      <c r="B16" s="8">
        <f>(B10-B11)/B10</f>
        <v/>
      </c>
      <c r="C16" s="2" t="inlineStr">
        <is>
          <t>Boas / Produzidas</t>
        </is>
      </c>
      <c r="D16" s="7" t="inlineStr">
        <is>
          <t>Refugo aqui, retrabalho separado</t>
        </is>
      </c>
    </row>
    <row r="17">
      <c r="A17" s="6" t="inlineStr"/>
      <c r="B17" s="6" t="inlineStr"/>
      <c r="C17" s="2" t="inlineStr"/>
      <c r="D17" s="7" t="inlineStr"/>
    </row>
    <row r="18">
      <c r="A18" s="5" t="inlineStr">
        <is>
          <t>OEE</t>
        </is>
      </c>
      <c r="B18" s="9">
        <f>B14*B15*B16</f>
        <v/>
      </c>
      <c r="C18" s="2" t="inlineStr">
        <is>
          <t>Disp × Perf × Qual</t>
        </is>
      </c>
      <c r="D18" s="7" t="inlineStr">
        <is>
          <t>Meta world-class ≈ 85%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Como usar este arquivo</t>
        </is>
      </c>
    </row>
    <row r="2">
      <c r="A2" s="6" t="inlineStr"/>
    </row>
    <row r="3">
      <c r="A3" s="6" t="inlineStr">
        <is>
          <t>Este arquivo é FICTÍCIO. Foi criado como exercício do módulo M5 T2 do PDL Mallory 2026.</t>
        </is>
      </c>
    </row>
    <row r="4">
      <c r="A4" s="6" t="inlineStr">
        <is>
          <t>Não representa produção real de nenhuma máquina ou turno da Mallory.</t>
        </is>
      </c>
    </row>
    <row r="5">
      <c r="A5" s="6" t="inlineStr"/>
    </row>
    <row r="6">
      <c r="A6" s="6" t="inlineStr">
        <is>
          <t>Aba 'Dados brutos' — apontamento simulado de 5 dias, 3 turnos, 2 injetoras.</t>
        </is>
      </c>
    </row>
    <row r="7">
      <c r="A7" s="6" t="inlineStr">
        <is>
          <t>Aba 'Cálculo OEE — exemplo' — mostra como calcular o OEE de UMA das linhas.</t>
        </is>
      </c>
    </row>
    <row r="8">
      <c r="A8" s="6" t="inlineStr"/>
    </row>
    <row r="9">
      <c r="A9" s="6" t="inlineStr">
        <is>
          <t>Como usar no exercício do Claude:</t>
        </is>
      </c>
    </row>
    <row r="10">
      <c r="A10" s="6" t="inlineStr">
        <is>
          <t>1. Baixe este arquivo.</t>
        </is>
      </c>
    </row>
    <row r="11">
      <c r="A11" s="6" t="inlineStr">
        <is>
          <t>2. Abra o Claude.ai, ative Extended Thinking.</t>
        </is>
      </c>
    </row>
    <row r="12">
      <c r="A12" s="6" t="inlineStr">
        <is>
          <t>3. Anexe este arquivo.</t>
        </is>
      </c>
    </row>
    <row r="13">
      <c r="A13" s="6" t="inlineStr">
        <is>
          <t>4. Cole o prompt 'prompt-diagnostico-oee.md' da mesma pasta.</t>
        </is>
      </c>
    </row>
    <row r="14">
      <c r="A14" s="6" t="inlineStr">
        <is>
          <t>5. Peça pra Claude calcular o OEE das 30 linhas e comparar tendências.</t>
        </is>
      </c>
    </row>
    <row r="15">
      <c r="A15" s="6" t="inlineStr"/>
    </row>
    <row r="16">
      <c r="A16" s="6" t="inlineStr">
        <is>
          <t>Legenda de formatação:</t>
        </is>
      </c>
    </row>
    <row r="17">
      <c r="A17" s="6" t="inlineStr">
        <is>
          <t xml:space="preserve">  Fundo amarelo = célula de destaque (resultado final)</t>
        </is>
      </c>
    </row>
    <row r="18">
      <c r="A18" s="6" t="inlineStr">
        <is>
          <t xml:space="preserve">  Texto azul = célula de input (se você editar, o resto recalcula)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2026-07-21T23:53:42Z</dcterms:created>
  <dcterms:modified xmlns:dcterms="http://purl.org/dc/terms/" xmlns:xsi="http://www.w3.org/2001/XMLSchema-instance" xsi:type="dcterms:W3CDTF">2026-07-21T23:53:42Z</dcterms:modified>
</cp:coreProperties>
</file>