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AM" sheetId="1" state="visible" r:id="rId1"/>
    <sheet xmlns:r="http://schemas.openxmlformats.org/officeDocument/2006/relationships" name="2. SAM" sheetId="2" state="visible" r:id="rId2"/>
    <sheet xmlns:r="http://schemas.openxmlformats.org/officeDocument/2006/relationships" name="3. SOM" sheetId="3" state="visible" r:id="rId3"/>
    <sheet xmlns:r="http://schemas.openxmlformats.org/officeDocument/2006/relationships" name="4. Sumário" sheetId="4" state="visible" r:id="rId4"/>
    <sheet xmlns:r="http://schemas.openxmlformats.org/officeDocument/2006/relationships"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62A35"/>
      <sz val="12"/>
    </font>
    <font>
      <name val="Arial"/>
      <i val="1"/>
      <color rgb="006E7688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sz val="11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262A35"/>
        <bgColor rgb="00262A35"/>
      </patternFill>
    </fill>
    <fill>
      <patternFill patternType="solid">
        <fgColor rgb="00FFEB3B"/>
        <bgColor rgb="00FFEB3B"/>
      </patternFill>
    </fill>
    <fill>
      <patternFill patternType="solid">
        <fgColor rgb="00E8ECF3"/>
        <bgColor rgb="00E8ECF3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4" borderId="1" pivotButton="0" quotePrefix="0" xfId="0"/>
    <xf numFmtId="3" fontId="7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3" fillId="4" borderId="1" pivotButton="0" quotePrefix="0" xfId="0"/>
    <xf numFmtId="164" fontId="3" fillId="4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7" fillId="3" borderId="1" pivotButton="0" quotePrefix="0" xfId="0"/>
    <xf numFmtId="0" fontId="3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3" fontId="8" fillId="0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TAM — Total Addressable Market</t>
        </is>
      </c>
    </row>
    <row r="2">
      <c r="A2" s="2" t="inlineStr">
        <is>
          <t>Universo total de compradores potenciais no Brasil · segmento: eletroportáteis pra cozinha profissional pequeno porte</t>
        </is>
      </c>
    </row>
    <row r="4">
      <c r="A4" s="3" t="inlineStr">
        <is>
          <t>COMO USAR ESTA ABA</t>
        </is>
      </c>
    </row>
    <row r="5">
      <c r="A5" s="2" t="inlineStr">
        <is>
          <t>Células amarelas: você (ou o Claude) preenche.</t>
        </is>
      </c>
    </row>
    <row r="6">
      <c r="A6" s="2" t="inlineStr">
        <is>
          <t>Células brancas com fórmula: recalculam sozinho quando as amarelas mudam.</t>
        </is>
      </c>
    </row>
    <row r="7">
      <c r="A7" s="2" t="inlineStr">
        <is>
          <t>Coluna 'Fonte / premissa': OBRIGATÓRIO justificar cada número.</t>
        </is>
      </c>
    </row>
    <row r="9" ht="30" customHeight="1">
      <c r="A9" s="4" t="inlineStr">
        <is>
          <t>Segmento</t>
        </is>
      </c>
      <c r="B9" s="4" t="inlineStr">
        <is>
          <t>Quantidade estabelecimentos</t>
        </is>
      </c>
      <c r="C9" s="4" t="inlineStr">
        <is>
          <t>Gasto anual médio (R$)</t>
        </is>
      </c>
      <c r="D9" s="4" t="inlineStr">
        <is>
          <t>TAM (R$)</t>
        </is>
      </c>
      <c r="E9" s="4" t="inlineStr">
        <is>
          <t>Fonte / premissa</t>
        </is>
      </c>
    </row>
    <row r="10">
      <c r="A10" s="5" t="inlineStr">
        <is>
          <t>Cafeterias independentes</t>
        </is>
      </c>
      <c r="B10" s="6" t="n"/>
      <c r="C10" s="6" t="n"/>
      <c r="D10" s="7">
        <f>IFERROR(B10*C10, "-")</f>
        <v/>
      </c>
      <c r="E10" s="8" t="n"/>
    </row>
    <row r="11">
      <c r="A11" s="5" t="inlineStr">
        <is>
          <t>Padarias artesanais</t>
        </is>
      </c>
      <c r="B11" s="6" t="n"/>
      <c r="C11" s="6" t="n"/>
      <c r="D11" s="7">
        <f>IFERROR(B11*C11, "-")</f>
        <v/>
      </c>
      <c r="E11" s="8" t="n"/>
    </row>
    <row r="12">
      <c r="A12" s="5" t="inlineStr">
        <is>
          <t>Bistrôs / restaurantes pequenos</t>
        </is>
      </c>
      <c r="B12" s="6" t="n"/>
      <c r="C12" s="6" t="n"/>
      <c r="D12" s="7">
        <f>IFERROR(B12*C12, "-")</f>
        <v/>
      </c>
      <c r="E12" s="8" t="n"/>
    </row>
    <row r="14">
      <c r="A14" s="9" t="inlineStr">
        <is>
          <t>TAM total (R$)</t>
        </is>
      </c>
      <c r="D14" s="10">
        <f>SUM(D10:D12)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</cols>
  <sheetData>
    <row r="1">
      <c r="A1" s="1" t="inlineStr">
        <is>
          <t>SAM — Serviceable Addressable Market</t>
        </is>
      </c>
    </row>
    <row r="2">
      <c r="A2" s="2" t="inlineStr">
        <is>
          <t>Fatia do TAM que a Mallory conseguiria endereçar dado canal, preço, capacidade produtiva</t>
        </is>
      </c>
    </row>
    <row r="4" ht="26" customHeight="1">
      <c r="A4" s="4" t="inlineStr">
        <is>
          <t>Filtro</t>
        </is>
      </c>
      <c r="B4" s="4" t="inlineStr">
        <is>
          <t>% aplicado</t>
        </is>
      </c>
      <c r="C4" s="4" t="inlineStr">
        <is>
          <t>Fonte / premissa</t>
        </is>
      </c>
    </row>
    <row r="5">
      <c r="A5" s="5" t="inlineStr">
        <is>
          <t>Regiões atendidas pela distribuição Mallory</t>
        </is>
      </c>
      <c r="B5" s="11" t="n"/>
      <c r="C5" s="8" t="n"/>
    </row>
    <row r="6">
      <c r="A6" s="5" t="inlineStr">
        <is>
          <t>Segmento com poder de compra do ticket médio</t>
        </is>
      </c>
      <c r="B6" s="11" t="n"/>
      <c r="C6" s="8" t="n"/>
    </row>
    <row r="7">
      <c r="A7" s="5" t="inlineStr">
        <is>
          <t>Canal (varejo especializado + revenda B2B)</t>
        </is>
      </c>
      <c r="B7" s="11" t="n"/>
      <c r="C7" s="8" t="n"/>
    </row>
    <row r="9">
      <c r="A9" s="12" t="inlineStr">
        <is>
          <t>Fator SAM combinado</t>
        </is>
      </c>
      <c r="B9" s="13">
        <f>IFERROR(B5*B6*B7, "-")</f>
        <v/>
      </c>
    </row>
    <row r="11">
      <c r="A11" s="5" t="inlineStr">
        <is>
          <t>TAM importado da aba 1</t>
        </is>
      </c>
      <c r="B11" s="14">
        <f>'1. TAM'!D14</f>
        <v/>
      </c>
    </row>
    <row r="12">
      <c r="A12" s="15" t="inlineStr">
        <is>
          <t>SAM (R$)</t>
        </is>
      </c>
      <c r="B12" s="10">
        <f>IFERROR(B9*B11, "-")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SOM — Serviceable Obtainable Market (3 cenários, 24 meses)</t>
        </is>
      </c>
    </row>
    <row r="2">
      <c r="A2" s="2" t="inlineStr">
        <is>
          <t>Fatia realista do SAM que a Mallory captura nos primeiros 24 meses</t>
        </is>
      </c>
    </row>
    <row r="4" ht="26" customHeight="1">
      <c r="A4" s="4" t="inlineStr">
        <is>
          <t>Cenário</t>
        </is>
      </c>
      <c r="B4" s="4" t="inlineStr">
        <is>
          <t>% de captura sobre SAM</t>
        </is>
      </c>
      <c r="C4" s="4" t="inlineStr">
        <is>
          <t>SAM importado</t>
        </is>
      </c>
      <c r="D4" s="4" t="inlineStr">
        <is>
          <t>SOM (R$)</t>
        </is>
      </c>
      <c r="E4" s="4" t="inlineStr">
        <is>
          <t>Justificativa</t>
        </is>
      </c>
    </row>
    <row r="5">
      <c r="A5" s="16" t="inlineStr">
        <is>
          <t>Otimista</t>
        </is>
      </c>
      <c r="B5" s="11" t="n"/>
      <c r="C5" s="14">
        <f>'2. SAM'!B12</f>
        <v/>
      </c>
      <c r="D5" s="7">
        <f>IFERROR(B5*C5, "-")</f>
        <v/>
      </c>
      <c r="E5" s="8" t="n"/>
    </row>
    <row r="6">
      <c r="A6" s="16" t="inlineStr">
        <is>
          <t>Base</t>
        </is>
      </c>
      <c r="B6" s="11" t="n"/>
      <c r="C6" s="14">
        <f>'2. SAM'!B12</f>
        <v/>
      </c>
      <c r="D6" s="10">
        <f>IFERROR(B6*C6, "-")</f>
        <v/>
      </c>
      <c r="E6" s="8" t="n"/>
    </row>
    <row r="7">
      <c r="A7" s="16" t="inlineStr">
        <is>
          <t>Pessimista</t>
        </is>
      </c>
      <c r="B7" s="11" t="n"/>
      <c r="C7" s="14">
        <f>'2. SAM'!B12</f>
        <v/>
      </c>
      <c r="D7" s="7">
        <f>IFERROR(B7*C7, "-")</f>
        <v/>
      </c>
      <c r="E7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Sumário executivo</t>
        </is>
      </c>
    </row>
    <row r="2">
      <c r="A2" s="17" t="inlineStr"/>
      <c r="B2" s="18" t="inlineStr"/>
    </row>
    <row r="3">
      <c r="A3" s="3" t="inlineStr">
        <is>
          <t>Pergunta que estamos respondendo</t>
        </is>
      </c>
      <c r="B3" s="18" t="inlineStr">
        <is>
          <t>Vale a pena a Mallory entrar no segmento de eletroportáteis pra cozinha profissional pequeno porte no BR?</t>
        </is>
      </c>
    </row>
    <row r="4">
      <c r="A4" s="17" t="inlineStr"/>
      <c r="B4" s="18" t="inlineStr"/>
    </row>
    <row r="5">
      <c r="A5" s="3" t="inlineStr">
        <is>
          <t>TAM (R$)</t>
        </is>
      </c>
      <c r="B5" s="19">
        <f>'1. TAM'!D14</f>
        <v/>
      </c>
    </row>
    <row r="6">
      <c r="A6" s="3" t="inlineStr">
        <is>
          <t>SAM (R$)</t>
        </is>
      </c>
      <c r="B6" s="19">
        <f>'2. SAM'!B12</f>
        <v/>
      </c>
    </row>
    <row r="7">
      <c r="A7" s="3" t="inlineStr">
        <is>
          <t>SOM base (R$)</t>
        </is>
      </c>
      <c r="B7" s="20">
        <f>'3. SOM'!D6</f>
        <v/>
      </c>
    </row>
    <row r="8">
      <c r="A8" s="3" t="inlineStr">
        <is>
          <t>SOM otimista (R$)</t>
        </is>
      </c>
      <c r="B8" s="19">
        <f>'3. SOM'!D5</f>
        <v/>
      </c>
    </row>
    <row r="9">
      <c r="A9" s="3" t="inlineStr">
        <is>
          <t>SOM pessimista (R$)</t>
        </is>
      </c>
      <c r="B9" s="19">
        <f>'3. SOM'!D7</f>
        <v/>
      </c>
    </row>
    <row r="10">
      <c r="A10" s="17" t="inlineStr"/>
      <c r="B10" s="18" t="inlineStr"/>
    </row>
    <row r="11">
      <c r="A11" s="3" t="inlineStr">
        <is>
          <t>Recomendação</t>
        </is>
      </c>
      <c r="B11" s="18" t="inlineStr">
        <is>
          <t>[Claude preenche após analisar]</t>
        </is>
      </c>
    </row>
    <row r="12">
      <c r="A12" s="3" t="inlineStr">
        <is>
          <t>Premissas mais frágeis</t>
        </is>
      </c>
      <c r="B12" s="18" t="inlineStr">
        <is>
          <t>[Claude preenche após analisar]</t>
        </is>
      </c>
    </row>
    <row r="13">
      <c r="A13" s="3" t="inlineStr">
        <is>
          <t>Dados a validar</t>
        </is>
      </c>
      <c r="B13" s="18" t="inlineStr">
        <is>
          <t>[Claude preenche após analisar]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Como usar este arquivo</t>
        </is>
      </c>
    </row>
    <row r="2">
      <c r="A2" s="17" t="inlineStr"/>
    </row>
    <row r="3">
      <c r="A3" s="17" t="inlineStr">
        <is>
          <t>Este é um GABARITO em branco. Foi criado como exercício do módulo M5 T2 do PDL Mallory 2026.</t>
        </is>
      </c>
    </row>
    <row r="4">
      <c r="A4" s="17" t="inlineStr">
        <is>
          <t>As células com FUNDO AMARELO são pra você (ou o Claude) preencher.</t>
        </is>
      </c>
    </row>
    <row r="5">
      <c r="A5" s="17" t="inlineStr">
        <is>
          <t>As células BRANCAS calculam sozinho.</t>
        </is>
      </c>
    </row>
    <row r="6">
      <c r="A6" s="17" t="inlineStr"/>
    </row>
    <row r="7">
      <c r="A7" s="17" t="inlineStr">
        <is>
          <t>Ordem sugerida de preenchimento: 1. TAM → 2. SAM → 3. SOM → 4. Sumário.</t>
        </is>
      </c>
    </row>
    <row r="8">
      <c r="A8" s="17" t="inlineStr"/>
    </row>
    <row r="9">
      <c r="A9" s="17" t="inlineStr">
        <is>
          <t>Como usar no exercício:</t>
        </is>
      </c>
    </row>
    <row r="10">
      <c r="A10" s="17" t="inlineStr">
        <is>
          <t>1. Baixe este arquivo.</t>
        </is>
      </c>
    </row>
    <row r="11">
      <c r="A11" s="17" t="inlineStr">
        <is>
          <t>2. Abra o Claude Cowork (desktop).</t>
        </is>
      </c>
    </row>
    <row r="12">
      <c r="A12" s="17" t="inlineStr">
        <is>
          <t>3. Anexe este arquivo + ative Extended Thinking.</t>
        </is>
      </c>
    </row>
    <row r="13">
      <c r="A13" s="17" t="inlineStr">
        <is>
          <t>4. Cole o prompt 'prompt-analise-segmento.md' da mesma pasta.</t>
        </is>
      </c>
    </row>
    <row r="14">
      <c r="A14" s="17" t="inlineStr">
        <is>
          <t>5. Peça pra Claude preencher as células amarelas com fontes públicas justificadas.</t>
        </is>
      </c>
    </row>
    <row r="15">
      <c r="A15" s="17" t="inlineStr"/>
    </row>
    <row r="16">
      <c r="A16" s="17" t="inlineStr">
        <is>
          <t>Legenda de cor:</t>
        </is>
      </c>
    </row>
    <row r="17">
      <c r="A17" s="17" t="inlineStr">
        <is>
          <t xml:space="preserve">  Fundo amarelo (input do usuário) = você preenche</t>
        </is>
      </c>
    </row>
    <row r="18">
      <c r="A18" s="17" t="inlineStr">
        <is>
          <t xml:space="preserve">  Texto verde = link pra célula em outra aba</t>
        </is>
      </c>
    </row>
    <row r="19">
      <c r="A19" s="17" t="inlineStr">
        <is>
          <t xml:space="preserve">  Texto azul = input direto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2026-07-21T23:53:42Z</dcterms:created>
  <dcterms:modified xmlns:dcterms="http://purl.org/dc/terms/" xmlns:xsi="http://www.w3.org/2001/XMLSchema-instance" xsi:type="dcterms:W3CDTF">2026-07-21T23:53:42Z</dcterms:modified>
</cp:coreProperties>
</file>