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ta mensal" sheetId="1" state="visible" r:id="rId1"/>
    <sheet xmlns:r="http://schemas.openxmlformats.org/officeDocument/2006/relationships" name="Comparações Q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62A35"/>
      <sz val="12"/>
    </font>
    <font>
      <name val="Arial"/>
      <i val="1"/>
      <color rgb="006E7688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62A35"/>
        <bgColor rgb="00262A35"/>
      </patternFill>
    </fill>
    <fill>
      <patternFill patternType="solid">
        <fgColor rgb="00E8ECF3"/>
        <bgColor rgb="00E8ECF3"/>
      </patternFill>
    </fill>
  </fills>
  <borders count="2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6" fillId="3" borderId="0" pivotButton="0" quotePrefix="0" xfId="0"/>
    <xf numFmtId="3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</cols>
  <sheetData>
    <row r="1">
      <c r="A1" s="1" t="inlineStr">
        <is>
          <t>Receita mensal por linha × região — últimos 4 trimestres</t>
        </is>
      </c>
    </row>
    <row r="2">
      <c r="A2" s="2" t="inlineStr">
        <is>
          <t>Dados fictícios · valores em R$ mil · PDL Mallory 2026 · M5 T2 · Caso 3</t>
        </is>
      </c>
    </row>
    <row r="4" ht="26" customHeight="1">
      <c r="A4" s="3" t="inlineStr">
        <is>
          <t>Linha</t>
        </is>
      </c>
      <c r="B4" s="3" t="inlineStr">
        <is>
          <t>Região</t>
        </is>
      </c>
      <c r="C4" s="3" t="inlineStr">
        <is>
          <t>jul/25</t>
        </is>
      </c>
      <c r="D4" s="3" t="inlineStr">
        <is>
          <t>ago/25</t>
        </is>
      </c>
      <c r="E4" s="3" t="inlineStr">
        <is>
          <t>set/25</t>
        </is>
      </c>
      <c r="F4" s="3" t="inlineStr">
        <is>
          <t>out/25</t>
        </is>
      </c>
      <c r="G4" s="3" t="inlineStr">
        <is>
          <t>nov/25</t>
        </is>
      </c>
      <c r="H4" s="3" t="inlineStr">
        <is>
          <t>dez/25</t>
        </is>
      </c>
      <c r="I4" s="3" t="inlineStr">
        <is>
          <t>jan/26</t>
        </is>
      </c>
      <c r="J4" s="3" t="inlineStr">
        <is>
          <t>fev/26</t>
        </is>
      </c>
      <c r="K4" s="3" t="inlineStr">
        <is>
          <t>mar/26</t>
        </is>
      </c>
      <c r="L4" s="3" t="inlineStr">
        <is>
          <t>abr/26</t>
        </is>
      </c>
      <c r="M4" s="3" t="inlineStr">
        <is>
          <t>mai/26</t>
        </is>
      </c>
      <c r="N4" s="3" t="inlineStr">
        <is>
          <t>jun/26</t>
        </is>
      </c>
      <c r="O4" s="3" t="inlineStr">
        <is>
          <t>Q3/25</t>
        </is>
      </c>
      <c r="P4" s="3" t="inlineStr">
        <is>
          <t>Q4/25</t>
        </is>
      </c>
      <c r="Q4" s="3" t="inlineStr">
        <is>
          <t>Q1/26</t>
        </is>
      </c>
      <c r="R4" s="3" t="inlineStr">
        <is>
          <t>Q2/26</t>
        </is>
      </c>
      <c r="S4" s="3" t="inlineStr">
        <is>
          <t>Total 12m</t>
        </is>
      </c>
    </row>
    <row r="5">
      <c r="A5" s="4" t="inlineStr">
        <is>
          <t>Café</t>
        </is>
      </c>
      <c r="B5" s="4" t="inlineStr">
        <is>
          <t>Sudeste</t>
        </is>
      </c>
      <c r="C5" s="5" t="n">
        <v>396</v>
      </c>
      <c r="D5" s="5" t="n">
        <v>423</v>
      </c>
      <c r="E5" s="5" t="n">
        <v>450</v>
      </c>
      <c r="F5" s="5" t="n">
        <v>501</v>
      </c>
      <c r="G5" s="5" t="n">
        <v>553</v>
      </c>
      <c r="H5" s="5" t="n">
        <v>655</v>
      </c>
      <c r="I5" s="5" t="n">
        <v>366</v>
      </c>
      <c r="J5" s="5" t="n">
        <v>418</v>
      </c>
      <c r="K5" s="5" t="n">
        <v>471</v>
      </c>
      <c r="L5" s="5" t="n">
        <v>500</v>
      </c>
      <c r="M5" s="5" t="n">
        <v>529</v>
      </c>
      <c r="N5" s="5" t="n">
        <v>558</v>
      </c>
      <c r="O5" s="6">
        <f>SUM(C5:E5)</f>
        <v/>
      </c>
      <c r="P5" s="6">
        <f>SUM(F5:H5)</f>
        <v/>
      </c>
      <c r="Q5" s="6">
        <f>SUM(I5:K5)</f>
        <v/>
      </c>
      <c r="R5" s="6">
        <f>SUM(L5:N5)</f>
        <v/>
      </c>
      <c r="S5" s="6">
        <f>SUM(C5:N5)</f>
        <v/>
      </c>
    </row>
    <row r="6">
      <c r="A6" s="4" t="inlineStr">
        <is>
          <t>Café</t>
        </is>
      </c>
      <c r="B6" s="4" t="inlineStr">
        <is>
          <t>Sul</t>
        </is>
      </c>
      <c r="C6" s="5" t="n">
        <v>204</v>
      </c>
      <c r="D6" s="5" t="n">
        <v>217</v>
      </c>
      <c r="E6" s="5" t="n">
        <v>231</v>
      </c>
      <c r="F6" s="5" t="n">
        <v>258</v>
      </c>
      <c r="G6" s="5" t="n">
        <v>284</v>
      </c>
      <c r="H6" s="5" t="n">
        <v>336</v>
      </c>
      <c r="I6" s="5" t="n">
        <v>188</v>
      </c>
      <c r="J6" s="5" t="n">
        <v>215</v>
      </c>
      <c r="K6" s="5" t="n">
        <v>242</v>
      </c>
      <c r="L6" s="5" t="n">
        <v>257</v>
      </c>
      <c r="M6" s="5" t="n">
        <v>272</v>
      </c>
      <c r="N6" s="5" t="n">
        <v>287</v>
      </c>
      <c r="O6" s="6">
        <f>SUM(C6:E6)</f>
        <v/>
      </c>
      <c r="P6" s="6">
        <f>SUM(F6:H6)</f>
        <v/>
      </c>
      <c r="Q6" s="6">
        <f>SUM(I6:K6)</f>
        <v/>
      </c>
      <c r="R6" s="6">
        <f>SUM(L6:N6)</f>
        <v/>
      </c>
      <c r="S6" s="6">
        <f>SUM(C6:N6)</f>
        <v/>
      </c>
    </row>
    <row r="7">
      <c r="A7" s="4" t="inlineStr">
        <is>
          <t>Café</t>
        </is>
      </c>
      <c r="B7" s="4" t="inlineStr">
        <is>
          <t>Nordeste</t>
        </is>
      </c>
      <c r="C7" s="5" t="n">
        <v>136</v>
      </c>
      <c r="D7" s="5" t="n">
        <v>145</v>
      </c>
      <c r="E7" s="5" t="n">
        <v>154</v>
      </c>
      <c r="F7" s="5" t="n">
        <v>172</v>
      </c>
      <c r="G7" s="5" t="n">
        <v>189</v>
      </c>
      <c r="H7" s="5" t="n">
        <v>224</v>
      </c>
      <c r="I7" s="5" t="n">
        <v>125</v>
      </c>
      <c r="J7" s="5" t="n">
        <v>143</v>
      </c>
      <c r="K7" s="5" t="n">
        <v>161</v>
      </c>
      <c r="L7" s="5" t="n">
        <v>171</v>
      </c>
      <c r="M7" s="5" t="n">
        <v>181</v>
      </c>
      <c r="N7" s="5" t="n">
        <v>191</v>
      </c>
      <c r="O7" s="6">
        <f>SUM(C7:E7)</f>
        <v/>
      </c>
      <c r="P7" s="6">
        <f>SUM(F7:H7)</f>
        <v/>
      </c>
      <c r="Q7" s="6">
        <f>SUM(I7:K7)</f>
        <v/>
      </c>
      <c r="R7" s="6">
        <f>SUM(L7:N7)</f>
        <v/>
      </c>
      <c r="S7" s="6">
        <f>SUM(C7:N7)</f>
        <v/>
      </c>
    </row>
    <row r="8">
      <c r="A8" s="4" t="inlineStr">
        <is>
          <t>Café</t>
        </is>
      </c>
      <c r="B8" s="4" t="inlineStr">
        <is>
          <t>Centro-Oeste</t>
        </is>
      </c>
      <c r="C8" s="5" t="n">
        <v>73</v>
      </c>
      <c r="D8" s="5" t="n">
        <v>78</v>
      </c>
      <c r="E8" s="5" t="n">
        <v>83</v>
      </c>
      <c r="F8" s="5" t="n">
        <v>93</v>
      </c>
      <c r="G8" s="5" t="n">
        <v>102</v>
      </c>
      <c r="H8" s="5" t="n">
        <v>121</v>
      </c>
      <c r="I8" s="5" t="n">
        <v>68</v>
      </c>
      <c r="J8" s="5" t="n">
        <v>77</v>
      </c>
      <c r="K8" s="5" t="n">
        <v>87</v>
      </c>
      <c r="L8" s="5" t="n">
        <v>92</v>
      </c>
      <c r="M8" s="5" t="n">
        <v>98</v>
      </c>
      <c r="N8" s="5" t="n">
        <v>103</v>
      </c>
      <c r="O8" s="6">
        <f>SUM(C8:E8)</f>
        <v/>
      </c>
      <c r="P8" s="6">
        <f>SUM(F8:H8)</f>
        <v/>
      </c>
      <c r="Q8" s="6">
        <f>SUM(I8:K8)</f>
        <v/>
      </c>
      <c r="R8" s="6">
        <f>SUM(L8:N8)</f>
        <v/>
      </c>
      <c r="S8" s="6">
        <f>SUM(C8:N8)</f>
        <v/>
      </c>
    </row>
    <row r="9">
      <c r="A9" s="4" t="inlineStr">
        <is>
          <t>Café</t>
        </is>
      </c>
      <c r="B9" s="4" t="inlineStr">
        <is>
          <t>Norte</t>
        </is>
      </c>
      <c r="C9" s="5" t="n">
        <v>39</v>
      </c>
      <c r="D9" s="5" t="n">
        <v>42</v>
      </c>
      <c r="E9" s="5" t="n">
        <v>45</v>
      </c>
      <c r="F9" s="5" t="n">
        <v>50</v>
      </c>
      <c r="G9" s="5" t="n">
        <v>55</v>
      </c>
      <c r="H9" s="5" t="n">
        <v>65</v>
      </c>
      <c r="I9" s="5" t="n">
        <v>36</v>
      </c>
      <c r="J9" s="5" t="n">
        <v>41</v>
      </c>
      <c r="K9" s="5" t="n">
        <v>47</v>
      </c>
      <c r="L9" s="5" t="n">
        <v>50</v>
      </c>
      <c r="M9" s="5" t="n">
        <v>52</v>
      </c>
      <c r="N9" s="5" t="n">
        <v>55</v>
      </c>
      <c r="O9" s="6">
        <f>SUM(C9:E9)</f>
        <v/>
      </c>
      <c r="P9" s="6">
        <f>SUM(F9:H9)</f>
        <v/>
      </c>
      <c r="Q9" s="6">
        <f>SUM(I9:K9)</f>
        <v/>
      </c>
      <c r="R9" s="6">
        <f>SUM(L9:N9)</f>
        <v/>
      </c>
      <c r="S9" s="6">
        <f>SUM(C9:N9)</f>
        <v/>
      </c>
    </row>
    <row r="10">
      <c r="A10" s="4" t="inlineStr">
        <is>
          <t>Cozinha</t>
        </is>
      </c>
      <c r="B10" s="4" t="inlineStr">
        <is>
          <t>Sudeste</t>
        </is>
      </c>
      <c r="C10" s="5" t="n">
        <v>337</v>
      </c>
      <c r="D10" s="5" t="n">
        <v>359</v>
      </c>
      <c r="E10" s="5" t="n">
        <v>382</v>
      </c>
      <c r="F10" s="5" t="n">
        <v>426</v>
      </c>
      <c r="G10" s="5" t="n">
        <v>470</v>
      </c>
      <c r="H10" s="5" t="n">
        <v>556</v>
      </c>
      <c r="I10" s="5" t="n">
        <v>311</v>
      </c>
      <c r="J10" s="5" t="n">
        <v>356</v>
      </c>
      <c r="K10" s="5" t="n">
        <v>400</v>
      </c>
      <c r="L10" s="5" t="n">
        <v>425</v>
      </c>
      <c r="M10" s="5" t="n">
        <v>449</v>
      </c>
      <c r="N10" s="5" t="n">
        <v>474</v>
      </c>
      <c r="O10" s="6">
        <f>SUM(C10:E10)</f>
        <v/>
      </c>
      <c r="P10" s="6">
        <f>SUM(F10:H10)</f>
        <v/>
      </c>
      <c r="Q10" s="6">
        <f>SUM(I10:K10)</f>
        <v/>
      </c>
      <c r="R10" s="6">
        <f>SUM(L10:N10)</f>
        <v/>
      </c>
      <c r="S10" s="6">
        <f>SUM(C10:N10)</f>
        <v/>
      </c>
    </row>
    <row r="11">
      <c r="A11" s="4" t="inlineStr">
        <is>
          <t>Cozinha</t>
        </is>
      </c>
      <c r="B11" s="4" t="inlineStr">
        <is>
          <t>Sul</t>
        </is>
      </c>
      <c r="C11" s="5" t="n">
        <v>173</v>
      </c>
      <c r="D11" s="5" t="n">
        <v>185</v>
      </c>
      <c r="E11" s="5" t="n">
        <v>196</v>
      </c>
      <c r="F11" s="5" t="n">
        <v>219</v>
      </c>
      <c r="G11" s="5" t="n">
        <v>242</v>
      </c>
      <c r="H11" s="5" t="n">
        <v>286</v>
      </c>
      <c r="I11" s="5" t="n">
        <v>160</v>
      </c>
      <c r="J11" s="5" t="n">
        <v>183</v>
      </c>
      <c r="K11" s="5" t="n">
        <v>206</v>
      </c>
      <c r="L11" s="5" t="n">
        <v>218</v>
      </c>
      <c r="M11" s="5" t="n">
        <v>231</v>
      </c>
      <c r="N11" s="5" t="n">
        <v>244</v>
      </c>
      <c r="O11" s="6">
        <f>SUM(C11:E11)</f>
        <v/>
      </c>
      <c r="P11" s="6">
        <f>SUM(F11:H11)</f>
        <v/>
      </c>
      <c r="Q11" s="6">
        <f>SUM(I11:K11)</f>
        <v/>
      </c>
      <c r="R11" s="6">
        <f>SUM(L11:N11)</f>
        <v/>
      </c>
      <c r="S11" s="6">
        <f>SUM(C11:N11)</f>
        <v/>
      </c>
    </row>
    <row r="12">
      <c r="A12" s="4" t="inlineStr">
        <is>
          <t>Cozinha</t>
        </is>
      </c>
      <c r="B12" s="4" t="inlineStr">
        <is>
          <t>Nordeste</t>
        </is>
      </c>
      <c r="C12" s="5" t="n">
        <v>115</v>
      </c>
      <c r="D12" s="5" t="n">
        <v>123</v>
      </c>
      <c r="E12" s="5" t="n">
        <v>131</v>
      </c>
      <c r="F12" s="5" t="n">
        <v>146</v>
      </c>
      <c r="G12" s="5" t="n">
        <v>161</v>
      </c>
      <c r="H12" s="5" t="n">
        <v>190</v>
      </c>
      <c r="I12" s="5" t="n">
        <v>106</v>
      </c>
      <c r="J12" s="5" t="n">
        <v>122</v>
      </c>
      <c r="K12" s="5" t="n">
        <v>137</v>
      </c>
      <c r="L12" s="5" t="n">
        <v>145</v>
      </c>
      <c r="M12" s="5" t="n">
        <v>154</v>
      </c>
      <c r="N12" s="5" t="n">
        <v>162</v>
      </c>
      <c r="O12" s="6">
        <f>SUM(C12:E12)</f>
        <v/>
      </c>
      <c r="P12" s="6">
        <f>SUM(F12:H12)</f>
        <v/>
      </c>
      <c r="Q12" s="6">
        <f>SUM(I12:K12)</f>
        <v/>
      </c>
      <c r="R12" s="6">
        <f>SUM(L12:N12)</f>
        <v/>
      </c>
      <c r="S12" s="6">
        <f>SUM(C12:N12)</f>
        <v/>
      </c>
    </row>
    <row r="13">
      <c r="A13" s="4" t="inlineStr">
        <is>
          <t>Cozinha</t>
        </is>
      </c>
      <c r="B13" s="4" t="inlineStr">
        <is>
          <t>Centro-Oeste</t>
        </is>
      </c>
      <c r="C13" s="5" t="n">
        <v>62</v>
      </c>
      <c r="D13" s="5" t="n">
        <v>66</v>
      </c>
      <c r="E13" s="5" t="n">
        <v>71</v>
      </c>
      <c r="F13" s="5" t="n">
        <v>79</v>
      </c>
      <c r="G13" s="5" t="n">
        <v>87</v>
      </c>
      <c r="H13" s="5" t="n">
        <v>103</v>
      </c>
      <c r="I13" s="5" t="n">
        <v>57</v>
      </c>
      <c r="J13" s="5" t="n">
        <v>66</v>
      </c>
      <c r="K13" s="5" t="n">
        <v>74</v>
      </c>
      <c r="L13" s="5" t="n">
        <v>78</v>
      </c>
      <c r="M13" s="5" t="n">
        <v>83</v>
      </c>
      <c r="N13" s="5" t="n">
        <v>88</v>
      </c>
      <c r="O13" s="6">
        <f>SUM(C13:E13)</f>
        <v/>
      </c>
      <c r="P13" s="6">
        <f>SUM(F13:H13)</f>
        <v/>
      </c>
      <c r="Q13" s="6">
        <f>SUM(I13:K13)</f>
        <v/>
      </c>
      <c r="R13" s="6">
        <f>SUM(L13:N13)</f>
        <v/>
      </c>
      <c r="S13" s="6">
        <f>SUM(C13:N13)</f>
        <v/>
      </c>
    </row>
    <row r="14">
      <c r="A14" s="4" t="inlineStr">
        <is>
          <t>Cozinha</t>
        </is>
      </c>
      <c r="B14" s="4" t="inlineStr">
        <is>
          <t>Norte</t>
        </is>
      </c>
      <c r="C14" s="5" t="n">
        <v>33</v>
      </c>
      <c r="D14" s="5" t="n">
        <v>35</v>
      </c>
      <c r="E14" s="5" t="n">
        <v>38</v>
      </c>
      <c r="F14" s="5" t="n">
        <v>42</v>
      </c>
      <c r="G14" s="5" t="n">
        <v>47</v>
      </c>
      <c r="H14" s="5" t="n">
        <v>55</v>
      </c>
      <c r="I14" s="5" t="n">
        <v>31</v>
      </c>
      <c r="J14" s="5" t="n">
        <v>35</v>
      </c>
      <c r="K14" s="5" t="n">
        <v>40</v>
      </c>
      <c r="L14" s="5" t="n">
        <v>42</v>
      </c>
      <c r="M14" s="5" t="n">
        <v>44</v>
      </c>
      <c r="N14" s="5" t="n">
        <v>47</v>
      </c>
      <c r="O14" s="6">
        <f>SUM(C14:E14)</f>
        <v/>
      </c>
      <c r="P14" s="6">
        <f>SUM(F14:H14)</f>
        <v/>
      </c>
      <c r="Q14" s="6">
        <f>SUM(I14:K14)</f>
        <v/>
      </c>
      <c r="R14" s="6">
        <f>SUM(L14:N14)</f>
        <v/>
      </c>
      <c r="S14" s="6">
        <f>SUM(C14:N14)</f>
        <v/>
      </c>
    </row>
    <row r="15">
      <c r="A15" s="4" t="inlineStr">
        <is>
          <t>Ar &amp; Ventilação</t>
        </is>
      </c>
      <c r="B15" s="4" t="inlineStr">
        <is>
          <t>Sudeste</t>
        </is>
      </c>
      <c r="C15" s="5" t="n">
        <v>218</v>
      </c>
      <c r="D15" s="5" t="n">
        <v>232</v>
      </c>
      <c r="E15" s="5" t="n">
        <v>247</v>
      </c>
      <c r="F15" s="5" t="n">
        <v>275</v>
      </c>
      <c r="G15" s="5" t="n">
        <v>304</v>
      </c>
      <c r="H15" s="5" t="n">
        <v>360</v>
      </c>
      <c r="I15" s="5" t="n">
        <v>201</v>
      </c>
      <c r="J15" s="5" t="n">
        <v>230</v>
      </c>
      <c r="K15" s="5" t="n">
        <v>259</v>
      </c>
      <c r="L15" s="5" t="n">
        <v>275</v>
      </c>
      <c r="M15" s="5" t="n">
        <v>291</v>
      </c>
      <c r="N15" s="5" t="n">
        <v>307</v>
      </c>
      <c r="O15" s="6">
        <f>SUM(C15:E15)</f>
        <v/>
      </c>
      <c r="P15" s="6">
        <f>SUM(F15:H15)</f>
        <v/>
      </c>
      <c r="Q15" s="6">
        <f>SUM(I15:K15)</f>
        <v/>
      </c>
      <c r="R15" s="6">
        <f>SUM(L15:N15)</f>
        <v/>
      </c>
      <c r="S15" s="6">
        <f>SUM(C15:N15)</f>
        <v/>
      </c>
    </row>
    <row r="16">
      <c r="A16" s="4" t="inlineStr">
        <is>
          <t>Ar &amp; Ventilação</t>
        </is>
      </c>
      <c r="B16" s="4" t="inlineStr">
        <is>
          <t>Sul</t>
        </is>
      </c>
      <c r="C16" s="5" t="n">
        <v>112</v>
      </c>
      <c r="D16" s="5" t="n">
        <v>119</v>
      </c>
      <c r="E16" s="5" t="n">
        <v>127</v>
      </c>
      <c r="F16" s="5" t="n">
        <v>141</v>
      </c>
      <c r="G16" s="5" t="n">
        <v>156</v>
      </c>
      <c r="H16" s="5" t="n">
        <v>185</v>
      </c>
      <c r="I16" s="5" t="n">
        <v>103</v>
      </c>
      <c r="J16" s="5" t="n">
        <v>118</v>
      </c>
      <c r="K16" s="5" t="n">
        <v>133</v>
      </c>
      <c r="L16" s="5" t="n">
        <v>141</v>
      </c>
      <c r="M16" s="5" t="n">
        <v>149</v>
      </c>
      <c r="N16" s="5" t="n">
        <v>157</v>
      </c>
      <c r="O16" s="6">
        <f>SUM(C16:E16)</f>
        <v/>
      </c>
      <c r="P16" s="6">
        <f>SUM(F16:H16)</f>
        <v/>
      </c>
      <c r="Q16" s="6">
        <f>SUM(I16:K16)</f>
        <v/>
      </c>
      <c r="R16" s="6">
        <f>SUM(L16:N16)</f>
        <v/>
      </c>
      <c r="S16" s="6">
        <f>SUM(C16:N16)</f>
        <v/>
      </c>
    </row>
    <row r="17">
      <c r="A17" s="4" t="inlineStr">
        <is>
          <t>Ar &amp; Ventilação</t>
        </is>
      </c>
      <c r="B17" s="4" t="inlineStr">
        <is>
          <t>Nordeste</t>
        </is>
      </c>
      <c r="C17" s="5" t="n">
        <v>74</v>
      </c>
      <c r="D17" s="5" t="n">
        <v>79</v>
      </c>
      <c r="E17" s="5" t="n">
        <v>84</v>
      </c>
      <c r="F17" s="5" t="n">
        <v>94</v>
      </c>
      <c r="G17" s="5" t="n">
        <v>104</v>
      </c>
      <c r="H17" s="5" t="n">
        <v>123</v>
      </c>
      <c r="I17" s="5" t="n">
        <v>66</v>
      </c>
      <c r="J17" s="5" t="n">
        <v>72</v>
      </c>
      <c r="K17" s="5" t="n">
        <v>78</v>
      </c>
      <c r="L17" s="5" t="n">
        <v>79</v>
      </c>
      <c r="M17" s="5" t="n">
        <v>79</v>
      </c>
      <c r="N17" s="5" t="n">
        <v>80</v>
      </c>
      <c r="O17" s="6">
        <f>SUM(C17:E17)</f>
        <v/>
      </c>
      <c r="P17" s="6">
        <f>SUM(F17:H17)</f>
        <v/>
      </c>
      <c r="Q17" s="6">
        <f>SUM(I17:K17)</f>
        <v/>
      </c>
      <c r="R17" s="6">
        <f>SUM(L17:N17)</f>
        <v/>
      </c>
      <c r="S17" s="6">
        <f>SUM(C17:N17)</f>
        <v/>
      </c>
    </row>
    <row r="18">
      <c r="A18" s="4" t="inlineStr">
        <is>
          <t>Ar &amp; Ventilação</t>
        </is>
      </c>
      <c r="B18" s="4" t="inlineStr">
        <is>
          <t>Centro-Oeste</t>
        </is>
      </c>
      <c r="C18" s="5" t="n">
        <v>40</v>
      </c>
      <c r="D18" s="5" t="n">
        <v>43</v>
      </c>
      <c r="E18" s="5" t="n">
        <v>46</v>
      </c>
      <c r="F18" s="5" t="n">
        <v>51</v>
      </c>
      <c r="G18" s="5" t="n">
        <v>56</v>
      </c>
      <c r="H18" s="5" t="n">
        <v>66</v>
      </c>
      <c r="I18" s="5" t="n">
        <v>37</v>
      </c>
      <c r="J18" s="5" t="n">
        <v>42</v>
      </c>
      <c r="K18" s="5" t="n">
        <v>48</v>
      </c>
      <c r="L18" s="5" t="n">
        <v>51</v>
      </c>
      <c r="M18" s="5" t="n">
        <v>54</v>
      </c>
      <c r="N18" s="5" t="n">
        <v>57</v>
      </c>
      <c r="O18" s="6">
        <f>SUM(C18:E18)</f>
        <v/>
      </c>
      <c r="P18" s="6">
        <f>SUM(F18:H18)</f>
        <v/>
      </c>
      <c r="Q18" s="6">
        <f>SUM(I18:K18)</f>
        <v/>
      </c>
      <c r="R18" s="6">
        <f>SUM(L18:N18)</f>
        <v/>
      </c>
      <c r="S18" s="6">
        <f>SUM(C18:N18)</f>
        <v/>
      </c>
    </row>
    <row r="19">
      <c r="A19" s="4" t="inlineStr">
        <is>
          <t>Ar &amp; Ventilação</t>
        </is>
      </c>
      <c r="B19" s="4" t="inlineStr">
        <is>
          <t>Norte</t>
        </is>
      </c>
      <c r="C19" s="5" t="n">
        <v>21</v>
      </c>
      <c r="D19" s="5" t="n">
        <v>23</v>
      </c>
      <c r="E19" s="5" t="n">
        <v>24</v>
      </c>
      <c r="F19" s="5" t="n">
        <v>27</v>
      </c>
      <c r="G19" s="5" t="n">
        <v>30</v>
      </c>
      <c r="H19" s="5" t="n">
        <v>36</v>
      </c>
      <c r="I19" s="5" t="n">
        <v>20</v>
      </c>
      <c r="J19" s="5" t="n">
        <v>23</v>
      </c>
      <c r="K19" s="5" t="n">
        <v>25</v>
      </c>
      <c r="L19" s="5" t="n">
        <v>27</v>
      </c>
      <c r="M19" s="5" t="n">
        <v>29</v>
      </c>
      <c r="N19" s="5" t="n">
        <v>30</v>
      </c>
      <c r="O19" s="6">
        <f>SUM(C19:E19)</f>
        <v/>
      </c>
      <c r="P19" s="6">
        <f>SUM(F19:H19)</f>
        <v/>
      </c>
      <c r="Q19" s="6">
        <f>SUM(I19:K19)</f>
        <v/>
      </c>
      <c r="R19" s="6">
        <f>SUM(L19:N19)</f>
        <v/>
      </c>
      <c r="S19" s="6">
        <f>SUM(C19:N19)</f>
        <v/>
      </c>
    </row>
    <row r="20">
      <c r="A20" s="7" t="inlineStr">
        <is>
          <t>TOTAL</t>
        </is>
      </c>
      <c r="C20" s="8">
        <f>SUM(C5:C19)</f>
        <v/>
      </c>
      <c r="D20" s="8">
        <f>SUM(D5:D19)</f>
        <v/>
      </c>
      <c r="E20" s="8">
        <f>SUM(E5:E19)</f>
        <v/>
      </c>
      <c r="F20" s="8">
        <f>SUM(F5:F19)</f>
        <v/>
      </c>
      <c r="G20" s="8">
        <f>SUM(G5:G19)</f>
        <v/>
      </c>
      <c r="H20" s="8">
        <f>SUM(H5:H19)</f>
        <v/>
      </c>
      <c r="I20" s="8">
        <f>SUM(I5:I19)</f>
        <v/>
      </c>
      <c r="J20" s="8">
        <f>SUM(J5:J19)</f>
        <v/>
      </c>
      <c r="K20" s="8">
        <f>SUM(K5:K19)</f>
        <v/>
      </c>
      <c r="L20" s="8">
        <f>SUM(L5:L19)</f>
        <v/>
      </c>
      <c r="M20" s="8">
        <f>SUM(M5:M19)</f>
        <v/>
      </c>
      <c r="N20" s="8">
        <f>SUM(N5:N19)</f>
        <v/>
      </c>
      <c r="O20" s="8">
        <f>SUM(O5:O19)</f>
        <v/>
      </c>
      <c r="P20" s="8">
        <f>SUM(P5:P19)</f>
        <v/>
      </c>
      <c r="Q20" s="8">
        <f>SUM(Q5:Q19)</f>
        <v/>
      </c>
      <c r="R20" s="8">
        <f>SUM(R5:R19)</f>
        <v/>
      </c>
      <c r="S20" s="8">
        <f>SUM(S5:S19)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Comparações trimestrais rápidas</t>
        </is>
      </c>
    </row>
    <row r="2">
      <c r="A2" s="2" t="inlineStr">
        <is>
          <t>Fórmulas apontam pra aba 'Receita mensal'. Base pra reunião trimestral.</t>
        </is>
      </c>
    </row>
    <row r="4">
      <c r="A4" s="3" t="inlineStr">
        <is>
          <t>Métrica</t>
        </is>
      </c>
      <c r="B4" s="3" t="inlineStr">
        <is>
          <t>Q1/26</t>
        </is>
      </c>
      <c r="C4" s="3" t="inlineStr">
        <is>
          <t>Q2/26</t>
        </is>
      </c>
      <c r="D4" s="3" t="inlineStr">
        <is>
          <t>Δ absoluto</t>
        </is>
      </c>
      <c r="E4" s="3" t="inlineStr">
        <is>
          <t>Δ %</t>
        </is>
      </c>
    </row>
    <row r="5">
      <c r="A5" s="9" t="inlineStr">
        <is>
          <t>Total geral</t>
        </is>
      </c>
      <c r="B5" s="10">
        <f>'Receita mensal'!Q20</f>
        <v/>
      </c>
      <c r="C5" s="10">
        <f>'Receita mensal'!R20</f>
        <v/>
      </c>
      <c r="D5" s="10">
        <f>C5-B5</f>
        <v/>
      </c>
      <c r="E5" s="11">
        <f>IFERROR(D5/B5, "n/a")</f>
        <v/>
      </c>
    </row>
    <row r="6">
      <c r="A6" s="4" t="inlineStr">
        <is>
          <t>Café</t>
        </is>
      </c>
      <c r="B6" s="10">
        <f>SUM('Receita mensal'!Q5:Q9)</f>
        <v/>
      </c>
      <c r="C6" s="10">
        <f>SUM('Receita mensal'!R5:R9)</f>
        <v/>
      </c>
      <c r="D6" s="10">
        <f>C6-B6</f>
        <v/>
      </c>
      <c r="E6" s="11">
        <f>IFERROR(D6/B6, "n/a")</f>
        <v/>
      </c>
    </row>
    <row r="7">
      <c r="A7" s="4" t="inlineStr">
        <is>
          <t>Cozinha</t>
        </is>
      </c>
      <c r="B7" s="10">
        <f>SUM('Receita mensal'!Q10:Q14)</f>
        <v/>
      </c>
      <c r="C7" s="10">
        <f>SUM('Receita mensal'!R10:R14)</f>
        <v/>
      </c>
      <c r="D7" s="10">
        <f>C7-B7</f>
        <v/>
      </c>
      <c r="E7" s="11">
        <f>IFERROR(D7/B7, "n/a")</f>
        <v/>
      </c>
    </row>
    <row r="8">
      <c r="A8" s="4" t="inlineStr">
        <is>
          <t>Ar &amp; Ventilação</t>
        </is>
      </c>
      <c r="B8" s="10">
        <f>SUM('Receita mensal'!Q15:Q19)</f>
        <v/>
      </c>
      <c r="C8" s="10">
        <f>SUM('Receita mensal'!R15:R19)</f>
        <v/>
      </c>
      <c r="D8" s="10">
        <f>C8-B8</f>
        <v/>
      </c>
      <c r="E8" s="11">
        <f>IFERROR(D8/B8, "n/a")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Como usar este arquivo</t>
        </is>
      </c>
    </row>
    <row r="2">
      <c r="A2" s="12" t="inlineStr"/>
    </row>
    <row r="3">
      <c r="A3" s="12" t="inlineStr">
        <is>
          <t>Este arquivo é FICTÍCIO. Criado como exercício do módulo M5 T2 do PDL Mallory 2026.</t>
        </is>
      </c>
    </row>
    <row r="4">
      <c r="A4" s="12" t="inlineStr">
        <is>
          <t>Não representa receita real de nenhuma linha, região ou trimestre da Mallory.</t>
        </is>
      </c>
    </row>
    <row r="5">
      <c r="A5" s="12" t="inlineStr"/>
    </row>
    <row r="6">
      <c r="A6" s="12" t="inlineStr">
        <is>
          <t>Aba 'Receita mensal' — 15 linhas (3 produtos × 5 regiões) × 12 meses.</t>
        </is>
      </c>
    </row>
    <row r="7">
      <c r="A7" s="12" t="inlineStr">
        <is>
          <t>Aba 'Comparações Q' — totais por trimestre com Δ absoluto e Δ %.</t>
        </is>
      </c>
    </row>
    <row r="8">
      <c r="A8" s="12" t="inlineStr"/>
    </row>
    <row r="9">
      <c r="A9" s="12" t="inlineStr">
        <is>
          <t>Como usar no exercício do Claude:</t>
        </is>
      </c>
    </row>
    <row r="10">
      <c r="A10" s="12" t="inlineStr">
        <is>
          <t>1. Baixe este arquivo E o 'slack-export-mock.md' da mesma pasta.</t>
        </is>
      </c>
    </row>
    <row r="11">
      <c r="A11" s="12" t="inlineStr">
        <is>
          <t>2. Abra o Claude Cowork (desktop).</t>
        </is>
      </c>
    </row>
    <row r="12">
      <c r="A12" s="12" t="inlineStr">
        <is>
          <t>3. Anexe os 2 arquivos + ative Extended Thinking.</t>
        </is>
      </c>
    </row>
    <row r="13">
      <c r="A13" s="12" t="inlineStr">
        <is>
          <t>4. Cole o prompt 'prompt-reuniao-tri.md'.</t>
        </is>
      </c>
    </row>
    <row r="14">
      <c r="A14" s="12" t="inlineStr">
        <is>
          <t>5. Peça o deck da reunião cruzando dados × temas do Slack.</t>
        </is>
      </c>
    </row>
    <row r="15">
      <c r="A15" s="12" t="inlineStr"/>
    </row>
    <row r="16">
      <c r="A16" s="12" t="inlineStr">
        <is>
          <t>Valores em R$ mil (milhares de reais).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2026-07-21T23:53:42Z</dcterms:created>
  <dcterms:modified xmlns:dcterms="http://purl.org/dc/terms/" xmlns:xsi="http://www.w3.org/2001/XMLSchema-instance" xsi:type="dcterms:W3CDTF">2026-07-21T23:53:42Z</dcterms:modified>
</cp:coreProperties>
</file>